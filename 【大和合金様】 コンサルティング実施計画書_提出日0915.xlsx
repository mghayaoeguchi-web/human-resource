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00" firstSheet="0" activeTab="0" autoFilterDateGrouping="1"/>
  </bookViews>
  <sheets>
    <sheet name="コンサルティング実施計画書（大和合金株式会社）" sheetId="1" state="visible" r:id="rId1"/>
    <sheet name="中核人材ペルソナ（案）" sheetId="2" state="visible" r:id="rId2"/>
  </sheets>
  <definedNames>
    <definedName name="_xlnm.Print_Area" localSheetId="0">'コンサルティング実施計画書（大和合金株式会社）'!$A$1:$F$23</definedName>
  </definedNames>
  <calcPr calcId="191028" fullCalcOnLoad="1"/>
</workbook>
</file>

<file path=xl/styles.xml><?xml version="1.0" encoding="utf-8"?>
<styleSheet xmlns="http://schemas.openxmlformats.org/spreadsheetml/2006/main">
  <numFmts count="0"/>
  <fonts count="30">
    <font>
      <name val="游ゴシック"/>
      <charset val="128"/>
      <family val="2"/>
      <color theme="1"/>
      <sz val="11"/>
      <scheme val="minor"/>
    </font>
    <font>
      <name val="游ゴシック"/>
      <charset val="128"/>
      <family val="2"/>
      <color theme="0"/>
      <sz val="11"/>
      <scheme val="minor"/>
    </font>
    <font>
      <name val="游ゴシック"/>
      <charset val="128"/>
      <family val="2"/>
      <sz val="6"/>
      <scheme val="minor"/>
    </font>
    <font>
      <name val="Meiryo UI"/>
      <charset val="128"/>
      <family val="3"/>
      <color theme="1"/>
      <sz val="11"/>
    </font>
    <font>
      <name val="Meiryo UI"/>
      <charset val="128"/>
      <family val="3"/>
      <b val="1"/>
      <color theme="0"/>
      <sz val="28"/>
    </font>
    <font>
      <name val="Meiryo UI"/>
      <charset val="128"/>
      <family val="3"/>
      <color theme="1" tint="0.1499984740745262"/>
      <sz val="11"/>
    </font>
    <font>
      <name val="Meiryo UI"/>
      <charset val="128"/>
      <family val="3"/>
      <b val="1"/>
      <color theme="1" tint="0.1499984740745262"/>
      <sz val="12"/>
    </font>
    <font>
      <name val="游ゴシック"/>
      <charset val="128"/>
      <family val="2"/>
      <color theme="1" tint="0.1499984740745262"/>
      <sz val="12"/>
      <scheme val="minor"/>
    </font>
    <font>
      <name val="Meiryo UI"/>
      <charset val="128"/>
      <family val="3"/>
      <b val="1"/>
      <color theme="0"/>
      <sz val="30"/>
    </font>
    <font>
      <name val="游ゴシック"/>
      <charset val="128"/>
      <family val="2"/>
      <color theme="1"/>
      <sz val="12"/>
      <scheme val="minor"/>
    </font>
    <font>
      <name val="Meiryo UI"/>
      <charset val="128"/>
      <family val="3"/>
      <color theme="1" tint="0.1499984740745262"/>
      <sz val="12"/>
    </font>
    <font>
      <name val="Meiryo UI"/>
      <charset val="128"/>
      <family val="3"/>
      <color theme="1"/>
      <sz val="12"/>
    </font>
    <font>
      <name val="Meiryo UI"/>
      <charset val="128"/>
      <family val="3"/>
      <b val="1"/>
      <color theme="1" tint="0.1499984740745262"/>
      <sz val="14"/>
    </font>
    <font>
      <name val="游ゴシック"/>
      <charset val="128"/>
      <family val="2"/>
      <color theme="1" tint="0.1499984740745262"/>
      <sz val="14"/>
      <scheme val="minor"/>
    </font>
    <font>
      <name val="游ゴシック"/>
      <charset val="128"/>
      <family val="2"/>
      <b val="1"/>
      <color theme="1" tint="0.1499984740745262"/>
      <sz val="14"/>
      <scheme val="minor"/>
    </font>
    <font>
      <name val="Meiryo UI"/>
      <charset val="128"/>
      <family val="3"/>
      <b val="1"/>
      <color theme="1"/>
      <sz val="14"/>
    </font>
    <font>
      <name val="Meiryo UI"/>
      <charset val="128"/>
      <family val="3"/>
      <b val="1"/>
      <color theme="1"/>
      <sz val="12"/>
    </font>
    <font>
      <name val="Meiryo UI"/>
      <charset val="128"/>
      <family val="3"/>
      <b val="1"/>
      <sz val="12"/>
    </font>
    <font>
      <name val="Meiryo UI"/>
      <charset val="128"/>
      <family val="3"/>
      <sz val="12"/>
    </font>
    <font>
      <name val="Meiryo UI"/>
      <charset val="128"/>
      <family val="3"/>
      <color theme="1" tint="0.1499984740745262"/>
      <sz val="20"/>
    </font>
    <font>
      <name val="Meiryo UI"/>
      <charset val="128"/>
      <family val="3"/>
      <b val="1"/>
      <color theme="1" tint="0.1499984740745262"/>
      <sz val="12"/>
      <u val="single"/>
    </font>
    <font>
      <name val="游ゴシック"/>
      <charset val="128"/>
      <family val="2"/>
      <b val="1"/>
      <color theme="1" tint="0.1499984740745262"/>
      <sz val="12"/>
      <scheme val="minor"/>
    </font>
    <font>
      <name val="Meiryo UI"/>
      <charset val="128"/>
      <family val="3"/>
      <b val="1"/>
      <i val="1"/>
      <color theme="1" tint="0.1499984740745262"/>
      <sz val="12"/>
      <u val="single"/>
    </font>
    <font>
      <name val="游ゴシック"/>
      <charset val="128"/>
      <family val="2"/>
      <b val="1"/>
      <color theme="1"/>
      <sz val="11"/>
      <scheme val="minor"/>
    </font>
    <font>
      <name val="Meiryo UI"/>
      <charset val="128"/>
      <family val="3"/>
      <b val="1"/>
      <color theme="1" tint="0.1499984740745262"/>
      <sz val="11"/>
    </font>
    <font>
      <name val="Meiryo UI"/>
      <b val="1"/>
      <sz val="16"/>
    </font>
    <font>
      <name val="Meiryo UI"/>
      <i val="1"/>
      <color rgb="00808080"/>
      <sz val="9"/>
    </font>
    <font>
      <name val="Meiryo UI"/>
      <b val="1"/>
      <color rgb="00FFFFFF"/>
      <sz val="11"/>
    </font>
    <font>
      <name val="Meiryo UI"/>
      <sz val="10.5"/>
    </font>
    <font>
      <name val="Meiryo UI"/>
      <b val="1"/>
      <color rgb="00C00000"/>
      <sz val="10"/>
    </font>
  </fonts>
  <fills count="7">
    <fill>
      <patternFill/>
    </fill>
    <fill>
      <patternFill patternType="gray125"/>
    </fill>
    <fill>
      <patternFill patternType="solid">
        <fgColor theme="4"/>
      </patternFill>
    </fill>
    <fill>
      <patternFill patternType="solid">
        <fgColor theme="4" tint="-0.249977111117893"/>
        <bgColor indexed="64"/>
      </patternFill>
    </fill>
    <fill>
      <patternFill patternType="solid">
        <fgColor theme="4" tint="0.3999755851924192"/>
        <bgColor indexed="64"/>
      </patternFill>
    </fill>
    <fill>
      <patternFill patternType="solid">
        <fgColor theme="0"/>
        <bgColor indexed="64"/>
      </patternFill>
    </fill>
    <fill>
      <patternFill patternType="solid">
        <fgColor rgb="004472C4"/>
      </patternFill>
    </fill>
  </fills>
  <borders count="44">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style="hair">
        <color indexed="64"/>
      </top>
      <bottom style="thin">
        <color indexed="64"/>
      </bottom>
      <diagonal/>
    </border>
    <border>
      <left style="hair">
        <color indexed="64"/>
      </left>
      <right/>
      <top style="thin">
        <color indexed="64"/>
      </top>
      <bottom style="thin">
        <color indexed="64"/>
      </bottom>
      <diagonal/>
    </border>
    <border>
      <left style="thin">
        <color auto="1"/>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top style="thin">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hair">
        <color indexed="64"/>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auto="1"/>
      </right>
      <top style="hair">
        <color indexed="64"/>
      </top>
      <bottom style="hair">
        <color indexed="64"/>
      </bottom>
      <diagonal/>
    </border>
    <border>
      <left/>
      <right/>
      <top style="hair">
        <color indexed="64"/>
      </top>
      <bottom/>
      <diagonal/>
    </border>
    <border>
      <left/>
      <right style="thin">
        <color auto="1"/>
      </right>
      <top style="hair">
        <color indexed="64"/>
      </top>
      <bottom/>
      <diagonal/>
    </border>
    <border>
      <left style="hair">
        <color indexed="64"/>
      </left>
      <right style="thin">
        <color indexed="64"/>
      </right>
      <top style="hair">
        <color indexed="64"/>
      </top>
      <bottom style="thin">
        <color indexed="64"/>
      </bottom>
      <diagonal/>
    </border>
    <border>
      <left/>
      <right style="thin">
        <color indexed="64"/>
      </right>
      <top style="hair">
        <color indexed="64"/>
      </top>
      <bottom/>
      <diagonal/>
    </border>
    <border>
      <left style="hair">
        <color indexed="64"/>
      </left>
      <right style="thin">
        <color indexed="64"/>
      </right>
      <top style="thin">
        <color indexed="64"/>
      </top>
      <bottom style="thin">
        <color indexed="64"/>
      </bottom>
      <diagonal/>
    </border>
    <border>
      <left/>
      <right style="hair">
        <color indexed="64"/>
      </right>
      <top style="thin">
        <color indexed="64"/>
      </top>
      <bottom/>
      <diagonal/>
    </border>
    <border>
      <left style="thin">
        <color indexed="64"/>
      </left>
      <right style="thin">
        <color indexed="64"/>
      </right>
      <top style="thin">
        <color indexed="64"/>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thin">
        <color indexed="64"/>
      </bottom>
      <diagonal/>
    </border>
    <border>
      <left style="thin">
        <color rgb="00808080"/>
      </left>
      <right style="thin">
        <color rgb="00808080"/>
      </right>
      <top style="thin">
        <color rgb="00808080"/>
      </top>
      <bottom style="thin">
        <color rgb="00808080"/>
      </bottom>
    </border>
  </borders>
  <cellStyleXfs count="2">
    <xf numFmtId="0" fontId="0" fillId="0" borderId="0" applyAlignment="1">
      <alignment vertical="center"/>
    </xf>
    <xf numFmtId="0" fontId="1" fillId="2" borderId="0" applyAlignment="1">
      <alignment vertical="center"/>
    </xf>
  </cellStyleXfs>
  <cellXfs count="105">
    <xf numFmtId="0" fontId="0" fillId="0" borderId="0" applyAlignment="1" pivotButton="0" quotePrefix="0" xfId="0">
      <alignment vertical="center"/>
    </xf>
    <xf numFmtId="0" fontId="3" fillId="0" borderId="0" applyAlignment="1" pivotButton="0" quotePrefix="0" xfId="0">
      <alignment horizontal="left" vertical="center"/>
    </xf>
    <xf numFmtId="0" fontId="4" fillId="0" borderId="0" applyAlignment="1" pivotButton="0" quotePrefix="0" xfId="1">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6" fillId="0" borderId="9" applyAlignment="1" pivotButton="0" quotePrefix="0" xfId="0">
      <alignment horizontal="left" vertical="center"/>
    </xf>
    <xf numFmtId="0" fontId="10" fillId="5" borderId="7" applyAlignment="1" pivotButton="0" quotePrefix="0" xfId="0">
      <alignment vertical="center" wrapText="1"/>
    </xf>
    <xf numFmtId="0" fontId="19" fillId="5" borderId="26" applyAlignment="1" pivotButton="0" quotePrefix="0" xfId="0">
      <alignment horizontal="center" vertical="center" wrapText="1"/>
    </xf>
    <xf numFmtId="0" fontId="6" fillId="0" borderId="20" applyAlignment="1" pivotButton="0" quotePrefix="0" xfId="0">
      <alignment horizontal="center" vertical="center"/>
    </xf>
    <xf numFmtId="0" fontId="6" fillId="0" borderId="20" applyAlignment="1" pivotButton="0" quotePrefix="0" xfId="0">
      <alignment horizontal="left" vertical="center" wrapText="1"/>
    </xf>
    <xf numFmtId="0" fontId="6" fillId="0" borderId="21" applyAlignment="1" pivotButton="0" quotePrefix="0" xfId="0">
      <alignment horizontal="center" vertical="center"/>
    </xf>
    <xf numFmtId="0" fontId="6" fillId="0" borderId="21" applyAlignment="1" pivotButton="0" quotePrefix="0" xfId="0">
      <alignment horizontal="left" vertical="center" wrapText="1"/>
    </xf>
    <xf numFmtId="0" fontId="6" fillId="0" borderId="22" applyAlignment="1" pivotButton="0" quotePrefix="0" xfId="0">
      <alignment horizontal="center" vertical="center"/>
    </xf>
    <xf numFmtId="0" fontId="6" fillId="0" borderId="28" applyAlignment="1" pivotButton="0" quotePrefix="0" xfId="0">
      <alignment horizontal="left" vertical="center" wrapText="1"/>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3" fillId="0" borderId="8" applyAlignment="1" pivotButton="0" quotePrefix="0" xfId="0">
      <alignment horizontal="left" vertical="center"/>
    </xf>
    <xf numFmtId="0" fontId="13" fillId="0" borderId="2" applyAlignment="1" pivotButton="0" quotePrefix="0" xfId="0">
      <alignment horizontal="left" vertical="center"/>
    </xf>
    <xf numFmtId="0" fontId="8" fillId="3" borderId="1" applyAlignment="1" pivotButton="0" quotePrefix="0" xfId="1">
      <alignment horizontal="center" vertical="center"/>
    </xf>
    <xf numFmtId="0" fontId="4" fillId="3" borderId="8" applyAlignment="1" pivotButton="0" quotePrefix="0" xfId="1">
      <alignment horizontal="center" vertical="center"/>
    </xf>
    <xf numFmtId="0" fontId="4" fillId="3" borderId="2" applyAlignment="1" pivotButton="0" quotePrefix="0" xfId="1">
      <alignment horizontal="center" vertical="center"/>
    </xf>
    <xf numFmtId="0" fontId="13" fillId="4" borderId="8" applyAlignment="1" pivotButton="0" quotePrefix="0" xfId="0">
      <alignment horizontal="left" vertical="center"/>
    </xf>
    <xf numFmtId="0" fontId="12" fillId="4" borderId="12" applyAlignment="1" pivotButton="0" quotePrefix="0" xfId="0">
      <alignment horizontal="left" vertical="center"/>
    </xf>
    <xf numFmtId="0" fontId="14" fillId="4" borderId="2" applyAlignment="1" pivotButton="0" quotePrefix="0" xfId="0">
      <alignment horizontal="left" vertical="center"/>
    </xf>
    <xf numFmtId="0" fontId="10" fillId="0" borderId="3" applyAlignment="1" pivotButton="0" quotePrefix="0" xfId="0">
      <alignment horizontal="left" vertical="top" wrapText="1"/>
    </xf>
    <xf numFmtId="0" fontId="10" fillId="0" borderId="9" applyAlignment="1" pivotButton="0" quotePrefix="0" xfId="0">
      <alignment horizontal="left" vertical="top"/>
    </xf>
    <xf numFmtId="0" fontId="7" fillId="0" borderId="9" applyAlignment="1" pivotButton="0" quotePrefix="0" xfId="0">
      <alignment horizontal="left" vertical="top"/>
    </xf>
    <xf numFmtId="0" fontId="7" fillId="0" borderId="4" applyAlignment="1" pivotButton="0" quotePrefix="0" xfId="0">
      <alignment horizontal="left" vertical="top"/>
    </xf>
    <xf numFmtId="0" fontId="6" fillId="0" borderId="3" applyAlignment="1" pivotButton="0" quotePrefix="0" xfId="0">
      <alignment horizontal="left" vertical="center" wrapText="1"/>
    </xf>
    <xf numFmtId="0" fontId="6" fillId="0" borderId="9" applyAlignment="1" pivotButton="0" quotePrefix="0" xfId="0">
      <alignment horizontal="left" vertical="center"/>
    </xf>
    <xf numFmtId="0" fontId="21" fillId="0" borderId="9" applyAlignment="1" pivotButton="0" quotePrefix="0" xfId="0">
      <alignment horizontal="left" vertical="center"/>
    </xf>
    <xf numFmtId="0" fontId="21" fillId="0" borderId="4" applyAlignment="1" pivotButton="0" quotePrefix="0" xfId="0">
      <alignment horizontal="left" vertical="center"/>
    </xf>
    <xf numFmtId="0" fontId="6" fillId="0" borderId="13" applyAlignment="1" pivotButton="0" quotePrefix="0" xfId="0">
      <alignment horizontal="left" vertical="center" wrapText="1"/>
    </xf>
    <xf numFmtId="0" fontId="6" fillId="0" borderId="14" applyAlignment="1" pivotButton="0" quotePrefix="0" xfId="0">
      <alignment horizontal="left" vertical="center"/>
    </xf>
    <xf numFmtId="0" fontId="6" fillId="0" borderId="15" applyAlignment="1" pivotButton="0" quotePrefix="0" xfId="0">
      <alignment horizontal="left" vertical="center"/>
    </xf>
    <xf numFmtId="0" fontId="6" fillId="0" borderId="6" applyAlignment="1" pivotButton="0" quotePrefix="0" xfId="0">
      <alignment horizontal="left" vertical="center" wrapText="1"/>
    </xf>
    <xf numFmtId="0" fontId="6" fillId="0" borderId="11" applyAlignment="1" pivotButton="0" quotePrefix="0" xfId="0">
      <alignment horizontal="left" vertical="center"/>
    </xf>
    <xf numFmtId="0" fontId="6" fillId="0" borderId="7" applyAlignment="1" pivotButton="0" quotePrefix="0" xfId="0">
      <alignment horizontal="left" vertical="center"/>
    </xf>
    <xf numFmtId="0" fontId="18" fillId="0" borderId="25" applyAlignment="1" pivotButton="0" quotePrefix="0" xfId="0">
      <alignment vertical="top" wrapText="1"/>
    </xf>
    <xf numFmtId="0" fontId="18" fillId="0" borderId="0" applyAlignment="1" pivotButton="0" quotePrefix="0" xfId="0">
      <alignment vertical="top" wrapText="1"/>
    </xf>
    <xf numFmtId="0" fontId="18" fillId="0" borderId="24" applyAlignment="1" pivotButton="0" quotePrefix="0" xfId="0">
      <alignment vertical="top" wrapText="1"/>
    </xf>
    <xf numFmtId="0" fontId="18" fillId="0" borderId="10" applyAlignment="1" pivotButton="0" quotePrefix="0" xfId="0">
      <alignment vertical="top" wrapText="1"/>
    </xf>
    <xf numFmtId="0" fontId="10" fillId="0" borderId="1" applyAlignment="1" pivotButton="0" quotePrefix="0" xfId="0">
      <alignment horizontal="left" vertical="center" wrapText="1"/>
    </xf>
    <xf numFmtId="0" fontId="9" fillId="0" borderId="8" applyAlignment="1" pivotButton="0" quotePrefix="0" xfId="0">
      <alignment horizontal="left" vertical="center" wrapText="1"/>
    </xf>
    <xf numFmtId="0" fontId="9" fillId="0" borderId="2" applyAlignment="1" pivotButton="0" quotePrefix="0" xfId="0">
      <alignment horizontal="left" vertical="center" wrapText="1"/>
    </xf>
    <xf numFmtId="0" fontId="10" fillId="0" borderId="8" applyAlignment="1" pivotButton="0" quotePrefix="0" xfId="0">
      <alignment horizontal="left" vertical="center"/>
    </xf>
    <xf numFmtId="0" fontId="7" fillId="0" borderId="8" applyAlignment="1" pivotButton="0" quotePrefix="0" xfId="0">
      <alignment horizontal="left" vertical="center"/>
    </xf>
    <xf numFmtId="0" fontId="7" fillId="0" borderId="2" applyAlignment="1" pivotButton="0" quotePrefix="0" xfId="0">
      <alignment horizontal="left" vertical="center"/>
    </xf>
    <xf numFmtId="0" fontId="24" fillId="0" borderId="23" applyAlignment="1" pivotButton="0" quotePrefix="0" xfId="0">
      <alignment horizontal="left" vertical="center" wrapText="1"/>
    </xf>
    <xf numFmtId="0" fontId="23" fillId="0" borderId="14" applyAlignment="1" pivotButton="0" quotePrefix="0" xfId="0">
      <alignment vertical="center"/>
    </xf>
    <xf numFmtId="0" fontId="23" fillId="0" borderId="15" applyAlignment="1" pivotButton="0" quotePrefix="0" xfId="0">
      <alignment vertical="center"/>
    </xf>
    <xf numFmtId="0" fontId="24" fillId="0" borderId="16" applyAlignment="1" pivotButton="0" quotePrefix="0" xfId="0">
      <alignment horizontal="left" vertical="center" wrapText="1"/>
    </xf>
    <xf numFmtId="0" fontId="23" fillId="0" borderId="17" applyAlignment="1" pivotButton="0" quotePrefix="0" xfId="0">
      <alignment vertical="center"/>
    </xf>
    <xf numFmtId="0" fontId="23" fillId="0" borderId="18" applyAlignment="1" pivotButton="0" quotePrefix="0" xfId="0">
      <alignment vertical="center"/>
    </xf>
    <xf numFmtId="0" fontId="24" fillId="0" borderId="19" applyAlignment="1" pivotButton="0" quotePrefix="0" xfId="0">
      <alignment horizontal="left" vertical="center" wrapText="1"/>
    </xf>
    <xf numFmtId="0" fontId="23" fillId="0" borderId="11" applyAlignment="1" pivotButton="0" quotePrefix="0" xfId="0">
      <alignment vertical="center"/>
    </xf>
    <xf numFmtId="0" fontId="23" fillId="0" borderId="7" applyAlignment="1" pivotButton="0" quotePrefix="0" xfId="0">
      <alignment vertical="center"/>
    </xf>
    <xf numFmtId="0" fontId="15" fillId="0" borderId="8" applyAlignment="1" pivotButton="0" quotePrefix="0" xfId="0">
      <alignment horizontal="left" vertical="center"/>
    </xf>
    <xf numFmtId="0" fontId="15" fillId="0" borderId="2" applyAlignment="1" pivotButton="0" quotePrefix="0" xfId="0">
      <alignment horizontal="left" vertical="center"/>
    </xf>
    <xf numFmtId="0" fontId="6" fillId="0" borderId="1" applyAlignment="1" pivotButton="0" quotePrefix="0" xfId="0">
      <alignment horizontal="left" vertical="center"/>
    </xf>
    <xf numFmtId="0" fontId="6" fillId="0" borderId="8" applyAlignment="1" pivotButton="0" quotePrefix="0" xfId="0">
      <alignment horizontal="left" vertical="center"/>
    </xf>
    <xf numFmtId="0" fontId="6" fillId="0" borderId="27" applyAlignment="1" pivotButton="0" quotePrefix="0" xfId="0">
      <alignment horizontal="left" vertical="center"/>
    </xf>
    <xf numFmtId="0" fontId="10" fillId="0" borderId="12" applyAlignment="1" pivotButton="0" quotePrefix="0" xfId="0">
      <alignment horizontal="left" vertical="center" wrapText="1"/>
    </xf>
    <xf numFmtId="0" fontId="11" fillId="0" borderId="8" applyAlignment="1" pivotButton="0" quotePrefix="0" xfId="0">
      <alignment horizontal="left" vertical="center" wrapText="1"/>
    </xf>
    <xf numFmtId="0" fontId="11" fillId="0" borderId="2" applyAlignment="1" pivotButton="0" quotePrefix="0" xfId="0">
      <alignment horizontal="left" vertical="center" wrapText="1"/>
    </xf>
    <xf numFmtId="0" fontId="0" fillId="0" borderId="0" pivotButton="0" quotePrefix="0" xfId="0"/>
    <xf numFmtId="0" fontId="8" fillId="3" borderId="29" applyAlignment="1" pivotButton="0" quotePrefix="0" xfId="1">
      <alignment horizontal="center" vertical="center"/>
    </xf>
    <xf numFmtId="0" fontId="0" fillId="0" borderId="8" pivotButton="0" quotePrefix="0" xfId="0"/>
    <xf numFmtId="0" fontId="0" fillId="0" borderId="2" pivotButton="0" quotePrefix="0" xfId="0"/>
    <xf numFmtId="0" fontId="12" fillId="4" borderId="38" applyAlignment="1" pivotButton="0" quotePrefix="0" xfId="0">
      <alignment horizontal="left" vertical="center"/>
    </xf>
    <xf numFmtId="0" fontId="0" fillId="0" borderId="9" pivotButton="0" quotePrefix="0" xfId="0"/>
    <xf numFmtId="0" fontId="10" fillId="0" borderId="40" applyAlignment="1" pivotButton="0" quotePrefix="0" xfId="0">
      <alignment horizontal="left" vertical="top" wrapText="1"/>
    </xf>
    <xf numFmtId="0" fontId="0" fillId="0" borderId="4" pivotButton="0" quotePrefix="0" xfId="0"/>
    <xf numFmtId="0" fontId="12" fillId="4" borderId="29" applyAlignment="1" pivotButton="0" quotePrefix="0" xfId="0">
      <alignment horizontal="left" vertical="center"/>
    </xf>
    <xf numFmtId="0" fontId="0" fillId="0" borderId="24" pivotButton="0" quotePrefix="0" xfId="0"/>
    <xf numFmtId="0" fontId="0" fillId="0" borderId="10" pivotButton="0" quotePrefix="0" xfId="0"/>
    <xf numFmtId="0" fontId="6" fillId="0" borderId="40" applyAlignment="1" pivotButton="0" quotePrefix="0" xfId="0">
      <alignment horizontal="left" vertical="center" wrapText="1"/>
    </xf>
    <xf numFmtId="0" fontId="6" fillId="0" borderId="41" applyAlignment="1" pivotButton="0" quotePrefix="0" xfId="0">
      <alignment horizontal="left" vertical="center" wrapText="1"/>
    </xf>
    <xf numFmtId="0" fontId="0" fillId="0" borderId="14" pivotButton="0" quotePrefix="0" xfId="0"/>
    <xf numFmtId="0" fontId="0" fillId="0" borderId="15" pivotButton="0" quotePrefix="0" xfId="0"/>
    <xf numFmtId="0" fontId="6" fillId="0" borderId="42" applyAlignment="1" pivotButton="0" quotePrefix="0" xfId="0">
      <alignment horizontal="left" vertical="center" wrapText="1"/>
    </xf>
    <xf numFmtId="0" fontId="0" fillId="0" borderId="11" pivotButton="0" quotePrefix="0" xfId="0"/>
    <xf numFmtId="0" fontId="0" fillId="0" borderId="7" pivotButton="0" quotePrefix="0" xfId="0"/>
    <xf numFmtId="0" fontId="10" fillId="0" borderId="29" applyAlignment="1" pivotButton="0" quotePrefix="0" xfId="0">
      <alignment horizontal="left" vertical="center" wrapText="1"/>
    </xf>
    <xf numFmtId="0" fontId="24" fillId="0" borderId="30" applyAlignment="1" pivotButton="0" quotePrefix="0" xfId="0">
      <alignment horizontal="left" vertical="center" wrapText="1"/>
    </xf>
    <xf numFmtId="0" fontId="0" fillId="0" borderId="31" pivotButton="0" quotePrefix="0" xfId="0"/>
    <xf numFmtId="0" fontId="0" fillId="0" borderId="32" pivotButton="0" quotePrefix="0" xfId="0"/>
    <xf numFmtId="0" fontId="24" fillId="0" borderId="33" applyAlignment="1" pivotButton="0" quotePrefix="0" xfId="0">
      <alignment horizontal="left" vertical="center" wrapText="1"/>
    </xf>
    <xf numFmtId="0" fontId="0" fillId="0" borderId="17" pivotButton="0" quotePrefix="0" xfId="0"/>
    <xf numFmtId="0" fontId="0" fillId="0" borderId="18" pivotButton="0" quotePrefix="0" xfId="0"/>
    <xf numFmtId="0" fontId="24" fillId="0" borderId="36" applyAlignment="1" pivotButton="0" quotePrefix="0" xfId="0">
      <alignment horizontal="left" vertical="center" wrapText="1"/>
    </xf>
    <xf numFmtId="0" fontId="6" fillId="0" borderId="26" applyAlignment="1" pivotButton="0" quotePrefix="0" xfId="0">
      <alignment horizontal="left" vertical="center"/>
    </xf>
    <xf numFmtId="0" fontId="0" fillId="0" borderId="27" pivotButton="0" quotePrefix="0" xfId="0"/>
    <xf numFmtId="0" fontId="10" fillId="0" borderId="38" applyAlignment="1" pivotButton="0" quotePrefix="0" xfId="0">
      <alignment horizontal="left" vertical="center" wrapText="1"/>
    </xf>
    <xf numFmtId="0" fontId="25" fillId="0" borderId="0" applyAlignment="1" pivotButton="0" quotePrefix="0" xfId="0">
      <alignment horizontal="left" vertical="center" wrapText="1"/>
    </xf>
    <xf numFmtId="0" fontId="26" fillId="0" borderId="0" applyAlignment="1" pivotButton="0" quotePrefix="0" xfId="0">
      <alignment horizontal="left" vertical="center" wrapText="1"/>
    </xf>
    <xf numFmtId="0" fontId="27" fillId="6" borderId="43" applyAlignment="1" pivotButton="0" quotePrefix="0" xfId="0">
      <alignment horizontal="center" vertical="center" wrapText="1"/>
    </xf>
    <xf numFmtId="0" fontId="28" fillId="0" borderId="43" applyAlignment="1" pivotButton="0" quotePrefix="0" xfId="0">
      <alignment horizontal="center" vertical="center" wrapText="1"/>
    </xf>
    <xf numFmtId="0" fontId="28" fillId="0" borderId="43" applyAlignment="1" pivotButton="0" quotePrefix="0" xfId="0">
      <alignment horizontal="left" vertical="center" wrapText="1"/>
    </xf>
    <xf numFmtId="0" fontId="29" fillId="0" borderId="0" applyAlignment="1" pivotButton="0" quotePrefix="0" xfId="0">
      <alignment horizontal="left" vertical="center" wrapText="1"/>
    </xf>
  </cellXfs>
  <cellStyles count="2">
    <cellStyle name="標準" xfId="0" builtinId="0"/>
    <cellStyle name="アクセント 1" xfId="1" builtinId="2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アデコ仕様">
      <a:dk1>
        <a:srgbClr val="000000"/>
      </a:dk1>
      <a:lt1>
        <a:srgbClr val="FFFFFF"/>
      </a:lt1>
      <a:dk2>
        <a:srgbClr val="000000"/>
      </a:dk2>
      <a:lt2>
        <a:srgbClr val="FFFFFF"/>
      </a:lt2>
      <a:accent1>
        <a:srgbClr val="82BDBB"/>
      </a:accent1>
      <a:accent2>
        <a:srgbClr val="F5D66E"/>
      </a:accent2>
      <a:accent3>
        <a:srgbClr val="D78189"/>
      </a:accent3>
      <a:accent4>
        <a:srgbClr val="85BAE7"/>
      </a:accent4>
      <a:accent5>
        <a:srgbClr val="CEABCE"/>
      </a:accent5>
      <a:accent6>
        <a:srgbClr val="C4D36D"/>
      </a:accent6>
      <a:hlink>
        <a:srgbClr val="E3A86B"/>
      </a:hlink>
      <a:folHlink>
        <a:srgbClr val="DFDBD7"/>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1">
    <outlinePr summaryBelow="1" summaryRight="1"/>
    <pageSetUpPr/>
  </sheetPr>
  <dimension ref="A1:F26"/>
  <sheetViews>
    <sheetView tabSelected="1" view="pageBreakPreview" topLeftCell="A2" zoomScaleNormal="100" zoomScaleSheetLayoutView="100" workbookViewId="0">
      <selection activeCell="I8" sqref="I8"/>
    </sheetView>
  </sheetViews>
  <sheetFormatPr baseColWidth="8" defaultColWidth="8.625" defaultRowHeight="15.75"/>
  <cols>
    <col width="9.625" customWidth="1" style="1" min="1" max="2"/>
    <col width="28.625" customWidth="1" style="1" min="3" max="3"/>
    <col width="49.75" customWidth="1" style="1" min="4" max="4"/>
    <col width="12.125" customWidth="1" style="1" min="5" max="5"/>
    <col width="79" customWidth="1" style="1" min="6" max="6"/>
    <col width="8.625" customWidth="1" style="1" min="7" max="16384"/>
  </cols>
  <sheetData>
    <row r="1" ht="66.95" customHeight="1" s="70">
      <c r="A1" s="71" t="inlineStr">
        <is>
          <t>人材確保ノウハウ集中支援事業　 コンサルティング実施計画書</t>
        </is>
      </c>
      <c r="B1" s="72" t="n"/>
      <c r="C1" s="72" t="n"/>
      <c r="D1" s="72" t="n"/>
      <c r="E1" s="72" t="n"/>
      <c r="F1" s="73" t="n"/>
    </row>
    <row r="2" ht="36.95" customHeight="1" s="70">
      <c r="A2" s="2" t="n"/>
      <c r="B2" s="2" t="n"/>
      <c r="C2" s="2" t="n"/>
      <c r="D2" s="2" t="n"/>
      <c r="E2" s="4" t="n"/>
      <c r="F2" s="10" t="inlineStr">
        <is>
          <t>（記入日）2026年8月18日</t>
        </is>
      </c>
    </row>
    <row r="3" ht="27.6" customHeight="1" s="70">
      <c r="A3" s="19" t="inlineStr">
        <is>
          <t>支援対象企業名</t>
        </is>
      </c>
      <c r="B3" s="72" t="n"/>
      <c r="C3" s="72" t="n"/>
      <c r="D3" s="72" t="n"/>
      <c r="E3" s="74" t="inlineStr">
        <is>
          <t>担当者名（氏名、役職、連絡先）</t>
        </is>
      </c>
      <c r="F3" s="73" t="n"/>
    </row>
    <row r="4" ht="75.95" customHeight="1" s="70">
      <c r="A4" s="29" t="inlineStr">
        <is>
          <t>【企業名】　大和合金株式会社
【住所】 ※コンサルティング実施場所が異なる場合は実施場所住所も記載
（本社）東京都板橋区前野町2-46-2
（本社工場）埼玉県入間郡三芳町上富508　　※コンサルティング実施場所</t>
        </is>
      </c>
      <c r="B4" s="75" t="n"/>
      <c r="C4" s="75" t="n"/>
      <c r="D4" s="75" t="n"/>
      <c r="E4" s="76" t="inlineStr">
        <is>
          <t>【担当者名】
萩野 様（代表取締役社長）、小原 様（取締役）、岡園 様（総務課長）、江口 様（工場長）、
石井 様（総務課長）、高麗 様（総務課係長）</t>
        </is>
      </c>
      <c r="F4" s="77" t="n"/>
    </row>
    <row r="5" ht="27.95" customHeight="1" s="70">
      <c r="A5" s="45" t="inlineStr">
        <is>
          <t>【１００億宣言の申請状況】　１００億宣言企業（単独申請）
【従業員数】　45人　　【資本金】　45百万円　　【売上高】　9,000百万円
【業種】（大分類）製造業　（中分類）鉄鋼業
【事業内容】 特殊銅合金の加工・販売</t>
        </is>
      </c>
      <c r="E5" s="78" t="inlineStr">
        <is>
          <t>経営者確認　※本欄は支援対象企業がチェックしてください。</t>
        </is>
      </c>
      <c r="F5" s="73" t="n"/>
    </row>
    <row r="6" ht="60" customHeight="1" s="70">
      <c r="A6" s="79" t="n"/>
      <c r="B6" s="80" t="n"/>
      <c r="C6" s="80" t="n"/>
      <c r="D6" s="80" t="n"/>
      <c r="E6" s="12" t="inlineStr">
        <is>
          <t>✓</t>
        </is>
      </c>
      <c r="F6" s="11" t="inlineStr">
        <is>
          <t>本企画書の内容を経営者が確認しました。</t>
        </is>
      </c>
    </row>
    <row r="7" ht="27.6" customHeight="1" s="70">
      <c r="A7" s="78" t="inlineStr">
        <is>
          <t>支援企業の採用・定着における現状の課題</t>
        </is>
      </c>
      <c r="B7" s="72" t="n"/>
      <c r="C7" s="72" t="n"/>
      <c r="D7" s="72" t="n"/>
      <c r="E7" s="72" t="n"/>
      <c r="F7" s="73" t="n"/>
    </row>
    <row r="8" ht="231.95" customHeight="1" s="70">
      <c r="A8" s="81" t="inlineStr">
        <is>
          <t>中途人材の採用面に課題あり
【応募に至った全体課題】
□ 中核技術人材の戦略的採用体制の欠如
（１）技術習得に10～20年を要する専門分野を持つ製造業として、優秀な技術者の後継者となる中核人材の確保が急務である。
（２）採用は紹介採用（リファラル）と学校推薦に依存し、戦略的な採用設計ができていない。また、専任の人事担当者が存在せず、採用業務が総務部門の兼務にとどまっている。
【組織・人事に係る課題感】
（１）採用関連業務は総務が兼務しており、人事戦略の企画や制度設計を行える専門部署が機能していない。今後、採用・人材育成に興味を持つHR専門人材の育成・確保が必要と認識されている。
（２）ジョブローテーションは各部門の事情に左右され、10年後の技術継承を見据えた計画的な配置ができていない。特に技術習得に10～20年要する専門領域では、後継者育成のタイムライン設計が必要である。
（３）従業員の経歴一覧は作成済みだが、更新・活用がされていない。そのため、適材適所の配置判断や育成計画への活用が進んでいない。
（４）人事専任担当者がいないため、新たな人事機能の立ち上げは担当個人の能力次第となる。前例がなく試行錯誤の中での実行となるため、外部支援の必要性が高いと判断している。
（５）現場各拠点での採用が属人的：各拠点・部門ごとに採用対応がばらつき、本社による統一的な採用基準やプロセス管理が整備されていない。
（６）開発部門では外国人材の離職や異動も発生しており、理念共有の浸透方法にも課題がある。</t>
        </is>
      </c>
      <c r="B8" s="75" t="n"/>
      <c r="C8" s="75" t="n"/>
      <c r="D8" s="75" t="n"/>
      <c r="E8" s="75" t="n"/>
      <c r="F8" s="77" t="n"/>
    </row>
    <row r="9" ht="27.6" customHeight="1" s="70">
      <c r="A9" s="78" t="inlineStr">
        <is>
          <t>支援方針（改善計画、方向性、具体的な改善策、到達目標等）</t>
        </is>
      </c>
      <c r="B9" s="72" t="n"/>
      <c r="C9" s="72" t="n"/>
      <c r="D9" s="72" t="n"/>
      <c r="E9" s="72" t="n"/>
      <c r="F9" s="73" t="n"/>
    </row>
    <row r="10" ht="174.6" customHeight="1" s="70">
      <c r="A10" s="82" t="inlineStr">
        <is>
          <t>改善計画及び方向性（採用A「採用戦略構築」）　※採用B「採用テクニック」も一部補完していく。
【支援の方向性】
□ 「どんな人材が欲しいか」の言語化から着手すべく、江口氏をベンチマークに技術者後継の中核人材像をペルソナとして設計し、経営層・現場で共有する人材要件を定義する。
□ 理系ポテンシャル人材を毎年安定的に確保する採用戦略と、10～20年後の技術継承を見据えた育成接続までを一気通貫で設計する。
□ 採用テクニックとして独自求人票の作成、インターンシップ運用の強化、面接評価票の整備など、戦略を着地させる実務ノウハウを補完。紹介採用依存を脱し、公募でも優秀な応募者が集まる体制を目指す。
【改善計画の内容（案）】
（１）「どんな人材が欲しいか」を言語化するペルソナ設計から着手し、経営層・現場で共有する人材要件を定義し、100億宣言の人員計画の具体化を進める。
（２）技術習得に10～20年を要する専門分野の後継者を見据え、理系ポテンシャル人材を毎年安定的に確保する採用戦略と、採用から育成接続までを一気通貫で設計する。
（３）紹介採用依存を脱し、戦略的なターゲット設定と採用チャネルの複線化を構築する。その上で、設計した人材要件に基づき、会社の魅力が伝わる当社独自の求人票を作成する。
（４）面接評価票を整備して選別基準のばらつきを排除し、公募した際に一か月程度で一定数の応募者を獲得できる仕組みを、人事部門が不在でも自走できるよう構築する。</t>
        </is>
      </c>
      <c r="B10" s="83" t="n"/>
      <c r="C10" s="83" t="n"/>
      <c r="D10" s="83" t="n"/>
      <c r="E10" s="83" t="n"/>
      <c r="F10" s="84" t="n"/>
    </row>
    <row r="11" ht="218.1" customHeight="1" s="70">
      <c r="A11" s="85" t="inlineStr">
        <is>
          <t>具体的な改善策及び到達目標
□ 人材要件の言語化（技術者後継となる中核人材のペルソナを設計し、経営層・現場で共有する採用基準を定義する）
□ 採用チャネルの複線化（紹介採用依存を脱し、公募・学校連携・インターンシップを組み合わせた戦略的な母集団形成を構築する）
□ 当社独自の求人票の作成（会社の魅力が理系学生に伝わる求人票を設計し、応募率の改善を図る）
□ 面接評価票の整備（選別基準のばらつきを排除し、誰が面接しても一貫した評価ができる仕組みを整備する）
□ HR専門人材の育成（採用・人材育成を担える内製人材を育成し、人事機能の内製化を進める）
【到達目標】
□ 中核人材のペルソナが経営層・現場で共有され、採用基準が言語化された状態を実現する。
□ 紹介採用依存を脱し、公募・学校連携・インターンシップを組み合わせた複線化された採用チャネルのもと、理系ポテンシャル人材を毎年安定的に確保できる採用戦略の仕組みを内製化する。
□ 理系学生に響く求人票とインターンシップ運用、面接評価票による一貫した選別体制が定着し、誰が担当しても一定の水準で採用実務を遂行できる状態を構築する。</t>
        </is>
      </c>
      <c r="B11" s="86" t="n"/>
      <c r="C11" s="86" t="n"/>
      <c r="D11" s="86" t="n"/>
      <c r="E11" s="86" t="n"/>
      <c r="F11" s="87" t="n"/>
    </row>
    <row r="12" ht="27.6" customHeight="1" s="70">
      <c r="A12" s="78" t="inlineStr">
        <is>
          <t>支援によって見込まれる効果（例:１年後）</t>
        </is>
      </c>
      <c r="B12" s="72" t="n"/>
      <c r="C12" s="72" t="n"/>
      <c r="D12" s="72" t="n"/>
      <c r="E12" s="72" t="n"/>
      <c r="F12" s="73" t="n"/>
    </row>
    <row r="13" ht="233.45" customHeight="1" s="70">
      <c r="A13" s="88" t="inlineStr">
        <is>
          <t>【3カ月後】 課題の可視化と施策設計
（１）中核人材のペルソナと採用基準が言語化され、経営層・現場で人材要件が共有される。紹介採用依存を脱するための採用チャネル複線化の方針が固まっている。
（２）理系学生に響く独自の求人票と面接評価票が整備され、誰が面接しても一貫した評価ができる実務基盤が整っている。
【半年後】 採用施策の運用開始
（１）複線化された採用チャネルのもと公募が実際に稼働し、採用から育成接続までを見据えた人材獲得計画の効果検証が進んでいる。
（２）整備した求人票・評価票を用いた選考が実践され、インターンシップ運用も開始。理系学生との接点構築が進み、応募者の質・量の初期効果が見え始めている。
【1年後】 再現性ある採用基盤の定着
（１）理系ポテンシャル人材を毎年安定的に確保できる採用戦略の仕組みが定着し、内製化が完了している。
（２）公に募集した際、一か月程度で優秀な応募者が手を挙げ、採用選別に困るほどの人材が集まる目標状態に到達。誰が担当しても一定水準で採用実務を遂行できる体制が確立している。</t>
        </is>
      </c>
      <c r="B13" s="72" t="n"/>
      <c r="C13" s="72" t="n"/>
      <c r="D13" s="72" t="n"/>
      <c r="E13" s="72" t="n"/>
      <c r="F13" s="73" t="n"/>
    </row>
    <row r="14" ht="27.6" customHeight="1" s="70">
      <c r="A14" s="78" t="inlineStr">
        <is>
          <t>支援実施日程及び主な支援内容</t>
        </is>
      </c>
      <c r="B14" s="72" t="n"/>
      <c r="C14" s="72" t="n"/>
      <c r="D14" s="72" t="n"/>
      <c r="E14" s="72" t="n"/>
      <c r="F14" s="73" t="n"/>
    </row>
    <row r="15" ht="48.6" customHeight="1" s="70">
      <c r="A15" s="5" t="inlineStr">
        <is>
          <t>第１回</t>
        </is>
      </c>
      <c r="B15" s="13" t="inlineStr">
        <is>
          <t>対面</t>
        </is>
      </c>
      <c r="C15" s="14" t="inlineStr">
        <is>
          <t>(日時)　2026年9月28日
（月）10:00~</t>
        </is>
      </c>
      <c r="D15" s="89" t="inlineStr">
        <is>
          <t>(支援内容)　詳細ヒアリングと現状把握・課題の特定（詳細化）
採用・育成をめぐる現状を詳細にヒアリングし、中核人材採用の課題を特定。紹介採用依存の背景、人事体制、年齢構成等の状況を整理し、改善の優先順位について合意形成を行う。</t>
        </is>
      </c>
      <c r="E15" s="90" t="n"/>
      <c r="F15" s="91" t="n"/>
    </row>
    <row r="16" ht="48.6" customHeight="1" s="70">
      <c r="A16" s="6" t="inlineStr">
        <is>
          <t>第２回</t>
        </is>
      </c>
      <c r="B16" s="15" t="inlineStr">
        <is>
          <t>オンライン</t>
        </is>
      </c>
      <c r="C16" s="16" t="inlineStr">
        <is>
          <t xml:space="preserve">(日時)　</t>
        </is>
      </c>
      <c r="D16" s="92" t="inlineStr">
        <is>
          <t>(支援内容)　中核人材ペルソナ設計と採用基準の言語化
技術者後継となる中核人材のペルソナを設計し、経営層・現場で共有する人材要件として言語化。求める経験・資質・価値観を定義し、採用から育成接続まで見据えた人材像を策定。</t>
        </is>
      </c>
      <c r="E16" s="93" t="n"/>
      <c r="F16" s="94" t="n"/>
    </row>
    <row r="17" ht="48.6" customHeight="1" s="70">
      <c r="A17" s="6" t="inlineStr">
        <is>
          <t>第３回</t>
        </is>
      </c>
      <c r="B17" s="15" t="inlineStr">
        <is>
          <t>オンライン</t>
        </is>
      </c>
      <c r="C17" s="16" t="inlineStr">
        <is>
          <t xml:space="preserve">(日時)　</t>
        </is>
      </c>
      <c r="D17" s="92" t="inlineStr">
        <is>
          <t>(支援内容)　採用チャネル戦略の設計と母集団形成計画の策定
紹介採用依存を脱するため、公募・学校連携・インターンシップを組み合わせた採用チャネルの複線化を再設計。理系人材の動向を踏まえたターゲット大学・母集団形成の年間計画を策定。</t>
        </is>
      </c>
      <c r="E17" s="93" t="n"/>
      <c r="F17" s="94" t="n"/>
    </row>
    <row r="18" ht="48.6" customHeight="1" s="70">
      <c r="A18" s="6" t="inlineStr">
        <is>
          <t>第４回</t>
        </is>
      </c>
      <c r="B18" s="15" t="inlineStr">
        <is>
          <t>オンライン</t>
        </is>
      </c>
      <c r="C18" s="16" t="inlineStr">
        <is>
          <t xml:space="preserve">(日時)　</t>
        </is>
      </c>
      <c r="D18" s="92" t="inlineStr">
        <is>
          <t>(支援内容)　求人票・面接評価票の作成と選考プロセスの実装設計
ペルソナに基づき、会社の魅力が伝わる独自の求人票と面接評価票を作成する。選別基準のばらつきを排除する選考プロセスを設計し、実運用に向けた体制とスケジュールを整備。</t>
        </is>
      </c>
      <c r="E18" s="93" t="n"/>
      <c r="F18" s="94" t="n"/>
    </row>
    <row r="19" ht="48.6" customHeight="1" s="70">
      <c r="A19" s="7" t="inlineStr">
        <is>
          <t>第５回</t>
        </is>
      </c>
      <c r="B19" s="17" t="inlineStr">
        <is>
          <t>対面</t>
        </is>
      </c>
      <c r="C19" s="18" t="inlineStr">
        <is>
          <t xml:space="preserve">(日時)　</t>
        </is>
      </c>
      <c r="D19" s="95" t="inlineStr">
        <is>
          <t>(支援内容)　1～4回の総評と今後のロードマップ提供
成果と改善点を整理し、採用実務の内製化と毎年安定的に中核人材を確保するための年次ロードマップを提供する。今後の運用定着に向けた具体的な行動計画を提示する。</t>
        </is>
      </c>
      <c r="E19" s="86" t="n"/>
      <c r="F19" s="87" t="n"/>
    </row>
    <row r="20" ht="27.6" customHeight="1" s="70">
      <c r="A20" s="19" t="inlineStr">
        <is>
          <t>コンサルタント氏名</t>
        </is>
      </c>
      <c r="B20" s="20" t="n"/>
      <c r="C20" s="20" t="n"/>
      <c r="D20" s="74" t="inlineStr">
        <is>
          <t>コンサルタント経歴等</t>
        </is>
      </c>
      <c r="E20" s="72" t="n"/>
      <c r="F20" s="73" t="n"/>
    </row>
    <row r="21" ht="119.45" customHeight="1" s="70">
      <c r="A21" s="96" t="inlineStr">
        <is>
          <t>猿渡　秀樹</t>
        </is>
      </c>
      <c r="B21" s="72" t="n"/>
      <c r="C21" s="97" t="n"/>
      <c r="D21" s="98" t="inlineStr">
        <is>
          <t>【経歴】
大手人材系企業で15年間勤務後、フリーランスとして独立。複数社でHRBP、人事顧問、人事・採用コンサルティングに従事。
豊富な実務経験に基づいたハンズオン支援が可能で採用企業側と応募者側の双方の視点を有する。またスタートアップから大企業まで幅広い規模の支援実績あり。
【当社コンサルティング選定理由】
経営戦略（中期経営計画）に対して人材採用計画を組み込む計画づくりの実績を多数有する。特に上流工程において企業の戦略作りを多数サポート。当社においては事前ヒアリングから参画し、課題感と支援の方向性をしっかり認識しているため。</t>
        </is>
      </c>
      <c r="E21" s="72" t="n"/>
      <c r="F21" s="73" t="n"/>
    </row>
    <row r="22" ht="27.6" customHeight="1" s="70">
      <c r="A22" s="78" t="inlineStr">
        <is>
          <t>出張行程</t>
        </is>
      </c>
      <c r="B22" s="72" t="n"/>
      <c r="C22" s="72" t="n"/>
      <c r="D22" s="72" t="n"/>
      <c r="E22" s="72" t="n"/>
      <c r="F22" s="73" t="n"/>
    </row>
    <row r="23" ht="51" customHeight="1" s="70">
      <c r="A23" s="88" t="inlineStr">
        <is>
          <t>本八幡（JR中央総武線）⇒　飯田橋（東京メトロ有楽町線）⇒　池袋（東武東上線）　⇒　鶴瀬（タクシー）⇒　大和合金 様</t>
        </is>
      </c>
      <c r="B23" s="72" t="n"/>
      <c r="C23" s="72" t="n"/>
      <c r="D23" s="72" t="n"/>
      <c r="E23" s="72" t="n"/>
      <c r="F23" s="73" t="n"/>
    </row>
    <row r="24" ht="29.45" customHeight="1" s="70">
      <c r="A24" s="3" t="n"/>
      <c r="B24" s="3" t="n"/>
      <c r="C24" s="3" t="n"/>
      <c r="D24" s="3" t="n"/>
      <c r="E24" s="3" t="n"/>
      <c r="F24" s="3" t="n"/>
    </row>
    <row r="25" ht="30" customHeight="1" s="70">
      <c r="A25" s="3" t="n"/>
      <c r="B25" s="3" t="n"/>
      <c r="C25" s="3" t="n"/>
      <c r="D25" s="3" t="n"/>
      <c r="E25" s="3" t="n"/>
      <c r="F25" s="3" t="n"/>
    </row>
    <row r="26" ht="30" customHeight="1" s="70">
      <c r="A26" s="3" t="n"/>
      <c r="B26" s="3" t="n"/>
      <c r="C26" s="3" t="n"/>
      <c r="D26" s="3" t="n"/>
      <c r="E26" s="3" t="n"/>
      <c r="F26" s="3" t="n"/>
    </row>
    <row r="27" ht="25.35" customHeight="1" s="70"/>
  </sheetData>
  <mergeCells count="25">
    <mergeCell ref="A4:D4"/>
    <mergeCell ref="E5:F5"/>
    <mergeCell ref="D17:F17"/>
    <mergeCell ref="A21:C21"/>
    <mergeCell ref="A12:F12"/>
    <mergeCell ref="D16:F16"/>
    <mergeCell ref="E4:F4"/>
    <mergeCell ref="A14:F14"/>
    <mergeCell ref="A23:F23"/>
    <mergeCell ref="D18:F18"/>
    <mergeCell ref="A8:F8"/>
    <mergeCell ref="A22:F22"/>
    <mergeCell ref="D15:F15"/>
    <mergeCell ref="A10:F10"/>
    <mergeCell ref="A5:D6"/>
    <mergeCell ref="A7:F7"/>
    <mergeCell ref="A13:F13"/>
    <mergeCell ref="A9:F9"/>
    <mergeCell ref="D20:F20"/>
    <mergeCell ref="A11:F11"/>
    <mergeCell ref="D19:F19"/>
    <mergeCell ref="A1:F1"/>
    <mergeCell ref="A3:D3"/>
    <mergeCell ref="D21:F21"/>
    <mergeCell ref="E3:F3"/>
  </mergeCells>
  <dataValidations count="3">
    <dataValidation sqref="C15:C19" showDropDown="1" showInputMessage="1" showErrorMessage="1" allowBlank="0"/>
    <dataValidation sqref="B15:B19" showDropDown="0" showInputMessage="1" showErrorMessage="1" allowBlank="1" type="list">
      <formula1>"対面,オンライン"</formula1>
    </dataValidation>
    <dataValidation sqref="E6" showDropDown="0" showInputMessage="1" showErrorMessage="1" allowBlank="1" type="list">
      <formula1>"✓"</formula1>
    </dataValidation>
  </dataValidations>
  <printOptions horizontalCentered="1"/>
  <pageMargins left="0.7086614173228347" right="0.7086614173228347" top="0.7480314960629921" bottom="0.7480314960629921" header="0.3149606299212598" footer="0.3149606299212598"/>
  <pageSetup orientation="portrait" paperSize="9" scale="41" horizontalDpi="90" verticalDpi="90"/>
</worksheet>
</file>

<file path=xl/worksheets/sheet2.xml><?xml version="1.0" encoding="utf-8"?>
<worksheet xmlns="http://schemas.openxmlformats.org/spreadsheetml/2006/main">
  <sheetPr>
    <outlinePr summaryBelow="1" summaryRight="1"/>
    <pageSetUpPr/>
  </sheetPr>
  <dimension ref="A1:C12"/>
  <sheetViews>
    <sheetView showGridLines="0" workbookViewId="0">
      <pane ySplit="3" topLeftCell="A4" activePane="bottomLeft" state="frozen"/>
      <selection pane="bottomLeft" activeCell="A1" sqref="A1"/>
    </sheetView>
  </sheetViews>
  <sheetFormatPr baseColWidth="8" defaultRowHeight="15"/>
  <cols>
    <col width="20" customWidth="1" style="70" min="1" max="1"/>
    <col width="70" customWidth="1" style="70" min="2" max="2"/>
    <col width="40" customWidth="1" style="70" min="3" max="3"/>
  </cols>
  <sheetData>
    <row r="1" ht="30" customHeight="1" s="70">
      <c r="A1" s="99" t="inlineStr">
        <is>
          <t>中核人材ペルソナ（技術者後継者像）案　～江口逸夫氏（工場長）のキャリアをベンチマーク～</t>
        </is>
      </c>
    </row>
    <row r="2" ht="28" customHeight="1" s="70">
      <c r="A2" s="100" t="inlineStr">
        <is>
          <t>※第2回コンサルティング（中核人材ペルソナ設計と採用基準の言語化）での使用を想定した素案。事実関係はコンサルタントとのすり合わせの上、確定してください。</t>
        </is>
      </c>
    </row>
    <row r="3" ht="22" customHeight="1" s="70">
      <c r="A3" s="101" t="inlineStr">
        <is>
          <t>項目</t>
        </is>
      </c>
      <c r="B3" s="101" t="inlineStr">
        <is>
          <t>要件・内容</t>
        </is>
      </c>
      <c r="C3" s="101" t="inlineStr">
        <is>
          <t>根拠（江口氏のキャリアより）</t>
        </is>
      </c>
    </row>
    <row r="4" ht="55" customHeight="1" s="70">
      <c r="A4" s="102" t="inlineStr">
        <is>
          <t>学歴</t>
        </is>
      </c>
      <c r="B4" s="103" t="inlineStr">
        <is>
          <t>工学系（材料工学・金属工学・機械材料系）修士以上。博士（工学）は歓迎条件（必須ではない）</t>
        </is>
      </c>
      <c r="C4" s="103" t="inlineStr">
        <is>
          <t>2014～2015年頃、宇都宮大学にて博士号を取得（本人申告）</t>
        </is>
      </c>
    </row>
    <row r="5" ht="55" customHeight="1" s="70">
      <c r="A5" s="102" t="inlineStr">
        <is>
          <t>専門分野</t>
        </is>
      </c>
      <c r="B5" s="103" t="inlineStr">
        <is>
          <t>非鉄金属材料、銅合金（特に高強度・高導電性合金）、金属組織学、塑性加工</t>
        </is>
      </c>
      <c r="C5" s="103" t="inlineStr">
        <is>
          <t>特許JP2008223069A「高強度高導電性銅合金及びその製造方法」発明者の一人（出願人：三芳合金工業株式会社）</t>
        </is>
      </c>
    </row>
    <row r="6" ht="55" customHeight="1" s="70">
      <c r="A6" s="102" t="inlineStr">
        <is>
          <t>研究開発志向</t>
        </is>
      </c>
      <c r="B6" s="103" t="inlineStr">
        <is>
          <t>実務課題を特許出願・学会発表・論文化など学術的に体系化した経験</t>
        </is>
      </c>
      <c r="C6" s="103" t="inlineStr">
        <is>
          <t>上記特許および博士研究を、現場の実務課題から着想・体系化した実績</t>
        </is>
      </c>
    </row>
    <row r="7" ht="55" customHeight="1" s="70">
      <c r="A7" s="102" t="inlineStr">
        <is>
          <t>現場理解力</t>
        </is>
      </c>
      <c r="B7" s="103" t="inlineStr">
        <is>
          <t>製造（生産技術）→営業→開発、のように複数部門を横断した経験、または経験する意欲</t>
        </is>
      </c>
      <c r="C7" s="103" t="inlineStr">
        <is>
          <t>1995年入社後、製造課→営業課（3年目以降）→製品開発課（係長）という複数部門を経験</t>
        </is>
      </c>
    </row>
    <row r="8" ht="55" customHeight="1" s="70">
      <c r="A8" s="102" t="inlineStr">
        <is>
          <t>育成タイムライン（目安）</t>
        </is>
      </c>
      <c r="B8" s="103" t="inlineStr">
        <is>
          <t>入社後3年：製造・現場理解／5～10年：営業・技術営業で顧客ニーズを吸収／10～20年：開発課で中核技術者として自立</t>
        </is>
      </c>
      <c r="C8" s="103" t="inlineStr">
        <is>
          <t>江口氏自身のキャリアパスを、後継者育成の標準モデルとして言語化</t>
        </is>
      </c>
    </row>
    <row r="9" ht="55" customHeight="1" s="70">
      <c r="A9" s="102" t="inlineStr">
        <is>
          <t>保有資格・実績の目安</t>
        </is>
      </c>
      <c r="B9" s="103" t="inlineStr">
        <is>
          <t>金属材料系の学会所属、技術士（金属部門）等の専門資格があれば尚可</t>
        </is>
      </c>
      <c r="C9" s="103" t="inlineStr">
        <is>
          <t>（要確認：江口氏本人の学会所属・資格の棚卸しを推奨）</t>
        </is>
      </c>
    </row>
    <row r="10" ht="55" customHeight="1" s="70">
      <c r="A10" s="102" t="inlineStr">
        <is>
          <t>人物像・価値観</t>
        </is>
      </c>
      <c r="B10" s="103" t="inlineStr">
        <is>
          <t>「モノづくりと同じくらいヒトづくりに全力で取り組む」という社風に共感できる人。世のため人のためという経営理念への共感</t>
        </is>
      </c>
      <c r="C10" s="103" t="inlineStr">
        <is>
          <t>大和合金グループの経営理念・企業文化（社外公開情報より）</t>
        </is>
      </c>
    </row>
    <row r="11" ht="55" customHeight="1" s="70">
      <c r="A11" s="102" t="inlineStr">
        <is>
          <t>キャリアゴール像</t>
        </is>
      </c>
      <c r="B11" s="103" t="inlineStr">
        <is>
          <t>将来的に製品開発課をリードし、必要に応じて社会人博士課程等で技術を体系化・発信できる人材</t>
        </is>
      </c>
      <c r="C11" s="103" t="inlineStr">
        <is>
          <t>江口氏の「現場叩き上げ→技術を学術的に体系化」というロールモデルの再現</t>
        </is>
      </c>
    </row>
    <row r="12" ht="32" customHeight="1" s="70">
      <c r="A12" s="104" t="inlineStr">
        <is>
          <t>【要確認事項】博士学位論文の正式タイトル・取得年度（2014年 or 2015年）・専攻分野は、学位記または宇都宮大学への照会で確定し、本表を更新してください。</t>
        </is>
      </c>
    </row>
  </sheetData>
  <mergeCells count="3">
    <mergeCell ref="A1:C1"/>
    <mergeCell ref="A2:C2"/>
    <mergeCell ref="A12:C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Yuki Hagiwara</dc:creator>
  <dcterms:created xsi:type="dcterms:W3CDTF">2025-07-22T06:09:30Z</dcterms:created>
  <dcterms:modified xsi:type="dcterms:W3CDTF">2026-09-16T12:24:47Z</dcterms:modified>
  <cp:lastModifiedBy>Hayao EGUCHI</cp:lastModifiedBy>
  <cp:lastPrinted>2025-10-28T07:13:26Z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0x0101001576DA72F3142B43959B872FDE540C02</vt:lpwstr>
  </property>
  <property name="MediaServiceImageTags" fmtid="{D5CDD505-2E9C-101B-9397-08002B2CF9AE}" pid="3">
    <vt:lpwstr/>
  </property>
</Properties>
</file>